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d7b24ced9ebb58/Documentos/"/>
    </mc:Choice>
  </mc:AlternateContent>
  <xr:revisionPtr revIDLastSave="38" documentId="8_{03DE5A47-FF6D-4C5A-BB25-71406117F10D}" xr6:coauthVersionLast="47" xr6:coauthVersionMax="47" xr10:uidLastSave="{284C0EA0-562A-4A69-B314-C0D3EFBCDE85}"/>
  <bookViews>
    <workbookView xWindow="-120" yWindow="-120" windowWidth="20730" windowHeight="11040" tabRatio="0" xr2:uid="{BF488CF9-F395-4559-9D99-E5343D07D82B}"/>
  </bookViews>
  <sheets>
    <sheet name="Simulador" sheetId="1" r:id="rId1"/>
    <sheet name="Apoio" sheetId="2" r:id="rId2"/>
  </sheets>
  <definedNames>
    <definedName name="Aporte_mensal">Simulador!$D$16</definedName>
    <definedName name="salario">Simulador!$D$11</definedName>
    <definedName name="taxa">Simulador!$D$18</definedName>
    <definedName name="taxa_mensal">Simulador!$D$20</definedName>
    <definedName name="tempo_de_invest">Simulador!$D$17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C34" i="1"/>
  <c r="C35" i="1"/>
  <c r="C36" i="1"/>
  <c r="C37" i="1"/>
  <c r="C38" i="1"/>
  <c r="D38" i="1" s="1"/>
  <c r="C33" i="1"/>
  <c r="D33" i="1" s="1"/>
  <c r="C30" i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C24" i="1"/>
  <c r="D24" i="1" s="1"/>
  <c r="C25" i="1"/>
  <c r="D25" i="1" s="1"/>
  <c r="C26" i="1"/>
  <c r="D26" i="1" s="1"/>
  <c r="C27" i="1"/>
  <c r="D27" i="1" s="1"/>
  <c r="C23" i="1"/>
  <c r="D23" i="1" s="1"/>
  <c r="D19" i="1"/>
  <c r="D20" i="1" s="1"/>
  <c r="D35" i="1" l="1"/>
  <c r="D34" i="1"/>
  <c r="D37" i="1"/>
  <c r="D36" i="1"/>
  <c r="D39" i="1" l="1"/>
</calcChain>
</file>

<file path=xl/sharedStrings.xml><?xml version="1.0" encoding="utf-8"?>
<sst xmlns="http://schemas.openxmlformats.org/spreadsheetml/2006/main" count="70" uniqueCount="36">
  <si>
    <t>Parâmetros</t>
  </si>
  <si>
    <t>Salário</t>
  </si>
  <si>
    <t>Rendimento Carteira</t>
  </si>
  <si>
    <t>Sugestão de Investimento (25%)</t>
  </si>
  <si>
    <t>Quanto investir por mês ?</t>
  </si>
  <si>
    <t>Patrimônio acumulado ?</t>
  </si>
  <si>
    <t>Cenários</t>
  </si>
  <si>
    <t>Investimento Mensal</t>
  </si>
  <si>
    <t>Patrimônio</t>
  </si>
  <si>
    <t>Dividendos</t>
  </si>
  <si>
    <t>Investimento por 2 anos</t>
  </si>
  <si>
    <t>Investimento por 5 anos</t>
  </si>
  <si>
    <t>Investimento por 10 anos</t>
  </si>
  <si>
    <t>Investimento por 20 anos</t>
  </si>
  <si>
    <t>Investimento por 30 anos</t>
  </si>
  <si>
    <t>CHAVE</t>
  </si>
  <si>
    <t>PERFIL</t>
  </si>
  <si>
    <t>TIPO DE FII</t>
  </si>
  <si>
    <t>%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</si>
  <si>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</si>
  <si>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</si>
  <si>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</si>
  <si>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</si>
  <si>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</si>
  <si>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</si>
  <si>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</si>
  <si>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</si>
  <si>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</si>
  <si>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>Perfil de investidor</t>
  </si>
  <si>
    <t>Valor investido por mês</t>
  </si>
  <si>
    <t>Percentual Sugerido</t>
  </si>
  <si>
    <t>Valores</t>
  </si>
  <si>
    <t>Tipo de FII</t>
  </si>
  <si>
    <t>Por quantos Anos ?</t>
  </si>
  <si>
    <t>Taxa de rendimento mensal ?</t>
  </si>
  <si>
    <t>Dividendos mensais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</si>
</sst>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 tint="0.34998626667073579"/>
      <name val="Segoe UI"/>
      <family val="2"/>
    </font>
    <font>
      <b/>
      <sz val="11"/>
      <color theme="1" tint="0.34998626667073579"/>
      <name val="Segoe UI"/>
      <family val="2"/>
    </font>
    <font>
      <b/>
      <sz val="12"/>
      <color theme="1" tint="0.34998626667073579"/>
      <name val="Segoe UI"/>
      <family val="2"/>
    </font>
    <font>
      <b/>
      <sz val="11"/>
      <color theme="1"/>
      <name val="Segoe UI"/>
      <family val="2"/>
    </font>
    <font>
      <b/>
      <sz val="14"/>
      <color theme="1"/>
      <name val="Segoe UI Semibold"/>
      <family val="2"/>
    </font>
    <font>
      <b/>
      <sz val="14"/>
      <color theme="1" tint="0.34998626667073579"/>
      <name val="Segoe UI"/>
      <family val="2"/>
    </font>
    <font>
      <b/>
      <sz val="16"/>
      <color theme="0"/>
      <name val="Segoe UI Semibold"/>
      <family val="2"/>
    </font>
    <font>
      <b/>
      <sz val="14"/>
      <color theme="0"/>
      <name val="Segoe UI Semibold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4" fillId="3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8" fontId="5" fillId="3" borderId="6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0" borderId="0" xfId="0" applyFont="1"/>
    <xf numFmtId="8" fontId="5" fillId="3" borderId="4" xfId="0" applyNumberFormat="1" applyFont="1" applyFill="1" applyBorder="1" applyAlignment="1">
      <alignment horizontal="center"/>
    </xf>
    <xf numFmtId="8" fontId="3" fillId="3" borderId="4" xfId="0" applyNumberFormat="1" applyFont="1" applyFill="1" applyBorder="1" applyAlignment="1">
      <alignment horizontal="center"/>
    </xf>
    <xf numFmtId="0" fontId="0" fillId="0" borderId="11" xfId="0" applyBorder="1"/>
    <xf numFmtId="9" fontId="0" fillId="0" borderId="0" xfId="0" applyNumberFormat="1"/>
    <xf numFmtId="9" fontId="0" fillId="0" borderId="11" xfId="0" applyNumberFormat="1" applyBorder="1"/>
    <xf numFmtId="8" fontId="8" fillId="3" borderId="14" xfId="0" applyNumberFormat="1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9" fontId="3" fillId="3" borderId="4" xfId="2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8" fontId="3" fillId="3" borderId="18" xfId="0" applyNumberFormat="1" applyFont="1" applyFill="1" applyBorder="1" applyAlignment="1">
      <alignment horizontal="center"/>
    </xf>
    <xf numFmtId="9" fontId="3" fillId="3" borderId="18" xfId="2" applyFont="1" applyFill="1" applyBorder="1" applyAlignment="1">
      <alignment horizontal="center"/>
    </xf>
    <xf numFmtId="8" fontId="5" fillId="3" borderId="18" xfId="0" applyNumberFormat="1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 vertical="center"/>
    </xf>
    <xf numFmtId="164" fontId="6" fillId="0" borderId="5" xfId="1" applyNumberFormat="1" applyFont="1" applyBorder="1" applyAlignment="1" applyProtection="1">
      <alignment horizontal="center"/>
      <protection locked="0"/>
    </xf>
    <xf numFmtId="10" fontId="6" fillId="0" borderId="5" xfId="2" applyNumberFormat="1" applyFont="1" applyBorder="1" applyAlignment="1" applyProtection="1">
      <alignment horizontal="center"/>
      <protection locked="0"/>
    </xf>
    <xf numFmtId="1" fontId="6" fillId="0" borderId="5" xfId="1" applyNumberFormat="1" applyFont="1" applyBorder="1" applyAlignment="1" applyProtection="1">
      <alignment horizontal="center"/>
      <protection locked="0"/>
    </xf>
    <xf numFmtId="0" fontId="7" fillId="4" borderId="12" xfId="0" applyFont="1" applyFill="1" applyBorder="1" applyAlignment="1" applyProtection="1">
      <alignment horizontal="center" vertical="center"/>
      <protection locked="0"/>
    </xf>
    <xf numFmtId="164" fontId="10" fillId="2" borderId="20" xfId="1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4" borderId="0" xfId="0" applyFill="1"/>
    <xf numFmtId="0" fontId="9" fillId="4" borderId="0" xfId="0" applyFont="1" applyFill="1" applyBorder="1" applyAlignment="1">
      <alignment horizontal="center" vertical="center"/>
    </xf>
    <xf numFmtId="164" fontId="10" fillId="4" borderId="0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Carteira de investimentos</a:t>
            </a:r>
          </a:p>
        </c:rich>
      </c:tx>
      <c:layout>
        <c:manualLayout>
          <c:xMode val="edge"/>
          <c:yMode val="edge"/>
          <c:x val="0.33792997507764932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54-4134-9AFD-CE5BCF08FB4B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54-4134-9AFD-CE5BCF08FB4B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54-4134-9AFD-CE5BCF08FB4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54-4134-9AFD-CE5BCF08FB4B}"/>
              </c:ext>
            </c:extLst>
          </c:dPt>
          <c:dPt>
            <c:idx val="4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54-4134-9AFD-CE5BCF08FB4B}"/>
              </c:ext>
            </c:extLst>
          </c:dPt>
          <c:dPt>
            <c:idx val="5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B54-4134-9AFD-CE5BCF08FB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Simulador!$C$33:$C$38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4-4134-9AFD-CE5BCF08F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3.298556430446193E-2"/>
          <c:w val="0.27492880352641219"/>
          <c:h val="0.679977398658501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104775</xdr:rowOff>
    </xdr:from>
    <xdr:to>
      <xdr:col>4</xdr:col>
      <xdr:colOff>47625</xdr:colOff>
      <xdr:row>7</xdr:row>
      <xdr:rowOff>139411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65687867-D1BE-E9F6-56EE-96368172DA2A}"/>
            </a:ext>
          </a:extLst>
        </xdr:cNvPr>
        <xdr:cNvGrpSpPr/>
      </xdr:nvGrpSpPr>
      <xdr:grpSpPr>
        <a:xfrm>
          <a:off x="635795" y="104775"/>
          <a:ext cx="6126955" cy="1368136"/>
          <a:chOff x="0" y="0"/>
          <a:chExt cx="5548745" cy="1368136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A72B310A-CDE9-418D-9CC0-455D22FDEE9D}"/>
              </a:ext>
            </a:extLst>
          </xdr:cNvPr>
          <xdr:cNvSpPr>
            <a:spLocks noChangeAspect="1"/>
          </xdr:cNvSpPr>
        </xdr:nvSpPr>
        <xdr:spPr>
          <a:xfrm>
            <a:off x="0" y="0"/>
            <a:ext cx="5477264" cy="1368136"/>
          </a:xfrm>
          <a:prstGeom prst="roundRect">
            <a:avLst/>
          </a:prstGeom>
          <a:solidFill>
            <a:schemeClr val="bg2">
              <a:lumMod val="25000"/>
            </a:schemeClr>
          </a:solidFill>
          <a:ln>
            <a:solidFill>
              <a:schemeClr val="bg2">
                <a:lumMod val="1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3ED69774-1F71-48F6-B45D-FFCE3D24F956}"/>
              </a:ext>
            </a:extLst>
          </xdr:cNvPr>
          <xdr:cNvSpPr txBox="1"/>
        </xdr:nvSpPr>
        <xdr:spPr>
          <a:xfrm>
            <a:off x="437823" y="233795"/>
            <a:ext cx="5110922" cy="8918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4400">
                <a:solidFill>
                  <a:schemeClr val="bg1"/>
                </a:solidFill>
                <a:latin typeface="Segoe UI Variable Text Semibold" pitchFamily="2" charset="0"/>
                <a:cs typeface="Aldhabi" panose="020F0502020204030204" pitchFamily="2" charset="-78"/>
              </a:rPr>
              <a:t>InvestCenter</a:t>
            </a:r>
          </a:p>
        </xdr:txBody>
      </xdr:sp>
      <xdr:pic>
        <xdr:nvPicPr>
          <xdr:cNvPr id="5" name="Gráfico 4" descr="Carteira com preenchimento sólido">
            <a:extLst>
              <a:ext uri="{FF2B5EF4-FFF2-40B4-BE49-F238E27FC236}">
                <a16:creationId xmlns:a16="http://schemas.microsoft.com/office/drawing/2014/main" id="{17A338B0-D2EC-49C4-B687-6F9872141B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02083" y="299603"/>
            <a:ext cx="795231" cy="770659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9525</xdr:colOff>
      <xdr:row>28</xdr:row>
      <xdr:rowOff>1</xdr:rowOff>
    </xdr:from>
    <xdr:to>
      <xdr:col>2</xdr:col>
      <xdr:colOff>342899</xdr:colOff>
      <xdr:row>29</xdr:row>
      <xdr:rowOff>9525</xdr:rowOff>
    </xdr:to>
    <xdr:pic>
      <xdr:nvPicPr>
        <xdr:cNvPr id="9" name="Gráfico 8" descr="Filtro com preenchimento sólido">
          <a:extLst>
            <a:ext uri="{FF2B5EF4-FFF2-40B4-BE49-F238E27FC236}">
              <a16:creationId xmlns:a16="http://schemas.microsoft.com/office/drawing/2014/main" id="{C3408E75-617A-4EE8-C6CF-7F095B755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33700" y="6143626"/>
          <a:ext cx="333374" cy="333374"/>
        </a:xfrm>
        <a:prstGeom prst="rect">
          <a:avLst/>
        </a:prstGeom>
      </xdr:spPr>
    </xdr:pic>
    <xdr:clientData/>
  </xdr:twoCellAnchor>
  <xdr:twoCellAnchor>
    <xdr:from>
      <xdr:col>1</xdr:col>
      <xdr:colOff>244929</xdr:colOff>
      <xdr:row>39</xdr:row>
      <xdr:rowOff>59872</xdr:rowOff>
    </xdr:from>
    <xdr:to>
      <xdr:col>3</xdr:col>
      <xdr:colOff>1551214</xdr:colOff>
      <xdr:row>48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DE7034-9D91-D8DA-F368-E3F2702CC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9F3D-00ED-48DC-B161-DE4AD248E42B}">
  <dimension ref="A1:E48"/>
  <sheetViews>
    <sheetView showGridLines="0" tabSelected="1" zoomScale="80" zoomScaleNormal="80" workbookViewId="0">
      <selection activeCell="C29" sqref="C29"/>
    </sheetView>
  </sheetViews>
  <sheetFormatPr defaultColWidth="0" defaultRowHeight="15" zeroHeight="1" x14ac:dyDescent="0.25"/>
  <cols>
    <col min="1" max="1" width="9.140625" customWidth="1"/>
    <col min="2" max="2" width="34.7109375" style="2" bestFit="1" customWidth="1"/>
    <col min="3" max="3" width="29.28515625" style="2" bestFit="1" customWidth="1"/>
    <col min="4" max="4" width="27.7109375" style="2" bestFit="1" customWidth="1"/>
    <col min="5" max="5" width="9.140625" customWidth="1"/>
    <col min="6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ht="15.75" thickBot="1" x14ac:dyDescent="0.3"/>
    <row r="10" spans="2:4" ht="25.5" x14ac:dyDescent="0.25">
      <c r="B10" s="31" t="s">
        <v>0</v>
      </c>
      <c r="C10" s="32"/>
      <c r="D10" s="33"/>
    </row>
    <row r="11" spans="2:4" ht="17.25" x14ac:dyDescent="0.3">
      <c r="B11" s="29" t="s">
        <v>1</v>
      </c>
      <c r="C11" s="30"/>
      <c r="D11" s="24">
        <v>5000</v>
      </c>
    </row>
    <row r="12" spans="2:4" ht="17.25" x14ac:dyDescent="0.3">
      <c r="B12" s="34" t="s">
        <v>2</v>
      </c>
      <c r="C12" s="35"/>
      <c r="D12" s="25">
        <f>taxa</f>
        <v>1.0500000000000001E-2</v>
      </c>
    </row>
    <row r="13" spans="2:4" ht="17.25" x14ac:dyDescent="0.3">
      <c r="B13" s="36" t="s">
        <v>3</v>
      </c>
      <c r="C13" s="37"/>
      <c r="D13" s="1">
        <f>D11*25%</f>
        <v>1250</v>
      </c>
    </row>
    <row r="14" spans="2:4" ht="15.75" thickBot="1" x14ac:dyDescent="0.3"/>
    <row r="15" spans="2:4" ht="25.5" x14ac:dyDescent="0.25">
      <c r="B15" s="31" t="s">
        <v>7</v>
      </c>
      <c r="C15" s="32"/>
      <c r="D15" s="33"/>
    </row>
    <row r="16" spans="2:4" ht="17.25" x14ac:dyDescent="0.3">
      <c r="B16" s="29" t="s">
        <v>4</v>
      </c>
      <c r="C16" s="30"/>
      <c r="D16" s="24">
        <v>1000</v>
      </c>
    </row>
    <row r="17" spans="1:4" ht="17.25" x14ac:dyDescent="0.3">
      <c r="B17" s="29" t="s">
        <v>33</v>
      </c>
      <c r="C17" s="30"/>
      <c r="D17" s="26">
        <v>5</v>
      </c>
    </row>
    <row r="18" spans="1:4" ht="17.25" x14ac:dyDescent="0.3">
      <c r="B18" s="29" t="s">
        <v>34</v>
      </c>
      <c r="C18" s="30"/>
      <c r="D18" s="25">
        <v>1.0500000000000001E-2</v>
      </c>
    </row>
    <row r="19" spans="1:4" ht="17.25" x14ac:dyDescent="0.3">
      <c r="B19" s="29" t="s">
        <v>5</v>
      </c>
      <c r="C19" s="30"/>
      <c r="D19" s="3">
        <f>FV(taxa,tempo_de_invest*12,Aporte_mensal*-1)</f>
        <v>82995.583908236309</v>
      </c>
    </row>
    <row r="20" spans="1:4" ht="17.25" x14ac:dyDescent="0.3">
      <c r="B20" s="29" t="s">
        <v>35</v>
      </c>
      <c r="C20" s="30"/>
      <c r="D20" s="3">
        <f>D19*taxa</f>
        <v>871.45363103648128</v>
      </c>
    </row>
    <row r="21" spans="1:4" ht="15.75" thickBot="1" x14ac:dyDescent="0.3"/>
    <row r="22" spans="1:4" ht="25.5" x14ac:dyDescent="0.25">
      <c r="B22" s="14" t="s">
        <v>6</v>
      </c>
      <c r="C22" s="15" t="s">
        <v>8</v>
      </c>
      <c r="D22" s="16" t="s">
        <v>9</v>
      </c>
    </row>
    <row r="23" spans="1:4" ht="17.25" x14ac:dyDescent="0.3">
      <c r="A23" s="5">
        <v>2</v>
      </c>
      <c r="B23" s="4" t="s">
        <v>10</v>
      </c>
      <c r="C23" s="7">
        <f>FV(taxa,$A23*12,Aporte_mensal*-1)</f>
        <v>27133.981214623404</v>
      </c>
      <c r="D23" s="6">
        <f>C23*taxa</f>
        <v>284.90680275354578</v>
      </c>
    </row>
    <row r="24" spans="1:4" ht="17.25" x14ac:dyDescent="0.3">
      <c r="A24" s="5">
        <v>5</v>
      </c>
      <c r="B24" s="4" t="s">
        <v>11</v>
      </c>
      <c r="C24" s="7">
        <f>FV(taxa,$A24*12,Aporte_mensal*-1)</f>
        <v>82995.583908236309</v>
      </c>
      <c r="D24" s="6">
        <f>C24*taxa</f>
        <v>871.45363103648128</v>
      </c>
    </row>
    <row r="25" spans="1:4" ht="17.25" x14ac:dyDescent="0.3">
      <c r="A25" s="5">
        <v>10</v>
      </c>
      <c r="B25" s="4" t="s">
        <v>12</v>
      </c>
      <c r="C25" s="7">
        <f>FV(taxa,$A25*12,Aporte_mensal*-1)</f>
        <v>238317.97077329812</v>
      </c>
      <c r="D25" s="6">
        <f>C25*taxa</f>
        <v>2502.3386931196305</v>
      </c>
    </row>
    <row r="26" spans="1:4" ht="17.25" x14ac:dyDescent="0.3">
      <c r="A26" s="5">
        <v>20</v>
      </c>
      <c r="B26" s="4" t="s">
        <v>13</v>
      </c>
      <c r="C26" s="7">
        <f>FV(taxa,$A26*12,Aporte_mensal*-1)</f>
        <v>1072988.2210783733</v>
      </c>
      <c r="D26" s="6">
        <f>C26*taxa</f>
        <v>11266.376321322919</v>
      </c>
    </row>
    <row r="27" spans="1:4" ht="17.25" x14ac:dyDescent="0.3">
      <c r="A27" s="5">
        <v>30</v>
      </c>
      <c r="B27" s="4" t="s">
        <v>14</v>
      </c>
      <c r="C27" s="7">
        <f>FV(taxa,$A27*12,Aporte_mensal*-1)</f>
        <v>3996286.1347176852</v>
      </c>
      <c r="D27" s="6">
        <f>C27*taxa</f>
        <v>41961.004414535695</v>
      </c>
    </row>
    <row r="28" spans="1:4" ht="15.75" thickBot="1" x14ac:dyDescent="0.3"/>
    <row r="29" spans="1:4" ht="25.5" x14ac:dyDescent="0.25">
      <c r="B29" s="12" t="s">
        <v>28</v>
      </c>
      <c r="C29" s="27" t="s">
        <v>26</v>
      </c>
    </row>
    <row r="30" spans="1:4" ht="26.25" thickBot="1" x14ac:dyDescent="0.4">
      <c r="B30" s="13" t="s">
        <v>29</v>
      </c>
      <c r="C30" s="11">
        <f>Aporte_mensal</f>
        <v>1000</v>
      </c>
    </row>
    <row r="31" spans="1:4" ht="15.75" thickBot="1" x14ac:dyDescent="0.3"/>
    <row r="32" spans="1:4" ht="25.5" x14ac:dyDescent="0.25">
      <c r="B32" s="12" t="s">
        <v>32</v>
      </c>
      <c r="C32" s="18" t="s">
        <v>30</v>
      </c>
      <c r="D32" s="19" t="s">
        <v>31</v>
      </c>
    </row>
    <row r="33" spans="2:4" ht="17.25" x14ac:dyDescent="0.3">
      <c r="B33" s="7" t="s">
        <v>20</v>
      </c>
      <c r="C33" s="17">
        <f>_xlfn.XLOOKUP(CONCATENATE($C$29,"-",B33),Apoio!$A:$A,Apoio!$D:$D)</f>
        <v>0.32</v>
      </c>
      <c r="D33" s="6">
        <f>C33*$C$30</f>
        <v>320</v>
      </c>
    </row>
    <row r="34" spans="2:4" ht="17.25" x14ac:dyDescent="0.3">
      <c r="B34" s="7" t="s">
        <v>21</v>
      </c>
      <c r="C34" s="17">
        <f>_xlfn.XLOOKUP(CONCATENATE($C$29,"-",B34),Apoio!$A:$A,Apoio!$D:$D)</f>
        <v>0.35</v>
      </c>
      <c r="D34" s="6">
        <f t="shared" ref="D34:D38" si="0">C34*$C$30</f>
        <v>350</v>
      </c>
    </row>
    <row r="35" spans="2:4" ht="17.25" x14ac:dyDescent="0.3">
      <c r="B35" s="7" t="s">
        <v>22</v>
      </c>
      <c r="C35" s="17">
        <f>_xlfn.XLOOKUP(CONCATENATE($C$29,"-",B35),Apoio!$A:$A,Apoio!$D:$D)</f>
        <v>0.08</v>
      </c>
      <c r="D35" s="6">
        <f t="shared" si="0"/>
        <v>80</v>
      </c>
    </row>
    <row r="36" spans="2:4" ht="17.25" x14ac:dyDescent="0.3">
      <c r="B36" s="7" t="s">
        <v>23</v>
      </c>
      <c r="C36" s="17">
        <f>_xlfn.XLOOKUP(CONCATENATE($C$29,"-",B36),Apoio!$A:$A,Apoio!$D:$D)</f>
        <v>0.05</v>
      </c>
      <c r="D36" s="6">
        <f t="shared" si="0"/>
        <v>50</v>
      </c>
    </row>
    <row r="37" spans="2:4" ht="17.25" x14ac:dyDescent="0.3">
      <c r="B37" s="7" t="s">
        <v>24</v>
      </c>
      <c r="C37" s="17">
        <f>_xlfn.XLOOKUP(CONCATENATE($C$29,"-",B37),Apoio!$A:$A,Apoio!$D:$D)</f>
        <v>0.1</v>
      </c>
      <c r="D37" s="6">
        <f t="shared" si="0"/>
        <v>100</v>
      </c>
    </row>
    <row r="38" spans="2:4" ht="17.25" x14ac:dyDescent="0.3">
      <c r="B38" s="20" t="s">
        <v>25</v>
      </c>
      <c r="C38" s="21">
        <f>_xlfn.XLOOKUP(CONCATENATE($C$29,"-",B38),Apoio!$A:$A,Apoio!$D:$D)</f>
        <v>0.1</v>
      </c>
      <c r="D38" s="22">
        <f t="shared" si="0"/>
        <v>100</v>
      </c>
    </row>
    <row r="39" spans="2:4" ht="26.25" thickBot="1" x14ac:dyDescent="0.3">
      <c r="B39" s="13"/>
      <c r="C39" s="23"/>
      <c r="D39" s="28">
        <f>SUM(D33:D38)</f>
        <v>1000</v>
      </c>
    </row>
    <row r="40" spans="2:4" s="38" customFormat="1" ht="25.5" x14ac:dyDescent="0.25">
      <c r="B40" s="39"/>
      <c r="C40" s="39"/>
      <c r="D40" s="40"/>
    </row>
    <row r="41" spans="2:4" s="38" customFormat="1" ht="25.5" x14ac:dyDescent="0.25">
      <c r="B41" s="39"/>
      <c r="C41" s="39"/>
      <c r="D41" s="40"/>
    </row>
    <row r="42" spans="2:4" s="38" customFormat="1" ht="25.5" x14ac:dyDescent="0.25">
      <c r="B42" s="39"/>
      <c r="C42" s="39"/>
      <c r="D42" s="40"/>
    </row>
    <row r="43" spans="2:4" s="38" customFormat="1" ht="25.5" x14ac:dyDescent="0.25">
      <c r="B43" s="39"/>
      <c r="C43" s="39"/>
      <c r="D43" s="40"/>
    </row>
    <row r="44" spans="2:4" s="38" customFormat="1" ht="25.5" x14ac:dyDescent="0.25">
      <c r="B44" s="39"/>
      <c r="C44" s="39"/>
      <c r="D44" s="40"/>
    </row>
    <row r="45" spans="2:4" s="38" customFormat="1" ht="25.5" x14ac:dyDescent="0.25">
      <c r="B45" s="39"/>
      <c r="C45" s="39"/>
      <c r="D45" s="40"/>
    </row>
    <row r="46" spans="2:4" s="38" customFormat="1" ht="25.5" x14ac:dyDescent="0.25">
      <c r="B46" s="39"/>
      <c r="C46" s="39"/>
      <c r="D46" s="40"/>
    </row>
    <row r="47" spans="2:4" s="38" customFormat="1" ht="25.5" x14ac:dyDescent="0.25">
      <c r="B47" s="39"/>
      <c r="C47" s="39"/>
      <c r="D47" s="40"/>
    </row>
    <row r="48" spans="2:4" s="38" customFormat="1" x14ac:dyDescent="0.25">
      <c r="B48" s="41"/>
      <c r="C48" s="41"/>
      <c r="D48" s="41"/>
    </row>
  </sheetData>
  <mergeCells count="10">
    <mergeCell ref="B11:C11"/>
    <mergeCell ref="B12:C12"/>
    <mergeCell ref="B13:C13"/>
    <mergeCell ref="B10:D10"/>
    <mergeCell ref="B20:C20"/>
    <mergeCell ref="B17:C17"/>
    <mergeCell ref="B18:C18"/>
    <mergeCell ref="B19:C19"/>
    <mergeCell ref="B15:D15"/>
    <mergeCell ref="B16:C16"/>
  </mergeCells>
  <dataValidations count="1">
    <dataValidation type="list" allowBlank="1" showInputMessage="1" showErrorMessage="1" sqref="C29" xr:uid="{F5A6A444-0492-4635-9F54-634D491EE56E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BBA5-ADAC-4AFB-A434-62585EB48ACC}">
  <dimension ref="A1:D19"/>
  <sheetViews>
    <sheetView showGridLines="0" workbookViewId="0">
      <selection activeCell="I18" sqref="I18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7.140625" style="9" bestFit="1" customWidth="1"/>
  </cols>
  <sheetData>
    <row r="1" spans="1:4" x14ac:dyDescent="0.25">
      <c r="A1" t="s">
        <v>15</v>
      </c>
      <c r="B1" t="s">
        <v>16</v>
      </c>
      <c r="C1" t="s">
        <v>17</v>
      </c>
      <c r="D1" s="9" t="s">
        <v>18</v>
      </c>
    </row>
    <row r="2" spans="1:4" x14ac:dyDescent="0.25">
      <c r="A2" t="str">
        <f>CONCATENATE(B2,"-",C2)</f>
        <v>Conservador-PAPEL</v>
      </c>
      <c r="B2" t="s">
        <v>19</v>
      </c>
      <c r="C2" t="s">
        <v>20</v>
      </c>
      <c r="D2" s="9">
        <v>0.3</v>
      </c>
    </row>
    <row r="3" spans="1:4" x14ac:dyDescent="0.25">
      <c r="A3" t="str">
        <f t="shared" ref="A3:A19" si="0">CONCATENATE(B3,"-",C3)</f>
        <v>Conservador-TIJOLO</v>
      </c>
      <c r="B3" t="s">
        <v>19</v>
      </c>
      <c r="C3" t="s">
        <v>21</v>
      </c>
      <c r="D3" s="9">
        <v>0.5</v>
      </c>
    </row>
    <row r="4" spans="1:4" x14ac:dyDescent="0.25">
      <c r="A4" t="str">
        <f t="shared" si="0"/>
        <v>Conservador-HÍBRIDOS</v>
      </c>
      <c r="B4" t="s">
        <v>19</v>
      </c>
      <c r="C4" t="s">
        <v>22</v>
      </c>
      <c r="D4" s="9">
        <v>0.1</v>
      </c>
    </row>
    <row r="5" spans="1:4" x14ac:dyDescent="0.25">
      <c r="A5" t="str">
        <f t="shared" si="0"/>
        <v>Conservador-FOFs</v>
      </c>
      <c r="B5" t="s">
        <v>19</v>
      </c>
      <c r="C5" t="s">
        <v>23</v>
      </c>
      <c r="D5" s="9">
        <v>0.1</v>
      </c>
    </row>
    <row r="6" spans="1:4" x14ac:dyDescent="0.25">
      <c r="A6" t="str">
        <f t="shared" si="0"/>
        <v>Conservador-DESENVOLVIMENTO</v>
      </c>
      <c r="B6" t="s">
        <v>19</v>
      </c>
      <c r="C6" t="s">
        <v>24</v>
      </c>
      <c r="D6" s="9">
        <v>0</v>
      </c>
    </row>
    <row r="7" spans="1:4" x14ac:dyDescent="0.25">
      <c r="A7" s="8" t="str">
        <f t="shared" si="0"/>
        <v>Conservador-HOTELARIAS</v>
      </c>
      <c r="B7" s="8" t="s">
        <v>19</v>
      </c>
      <c r="C7" s="8" t="s">
        <v>25</v>
      </c>
      <c r="D7" s="10">
        <v>0</v>
      </c>
    </row>
    <row r="8" spans="1:4" x14ac:dyDescent="0.25">
      <c r="A8" t="str">
        <f t="shared" si="0"/>
        <v>Moderado-PAPEL</v>
      </c>
      <c r="B8" t="s">
        <v>26</v>
      </c>
      <c r="C8" t="s">
        <v>20</v>
      </c>
      <c r="D8" s="9">
        <v>0.32</v>
      </c>
    </row>
    <row r="9" spans="1:4" x14ac:dyDescent="0.25">
      <c r="A9" t="str">
        <f t="shared" si="0"/>
        <v>Moderado-TIJOLO</v>
      </c>
      <c r="B9" t="s">
        <v>26</v>
      </c>
      <c r="C9" t="s">
        <v>21</v>
      </c>
      <c r="D9" s="9">
        <v>0.35</v>
      </c>
    </row>
    <row r="10" spans="1:4" x14ac:dyDescent="0.25">
      <c r="A10" t="str">
        <f t="shared" si="0"/>
        <v>Moderado-HÍBRIDOS</v>
      </c>
      <c r="B10" t="s">
        <v>26</v>
      </c>
      <c r="C10" t="s">
        <v>22</v>
      </c>
      <c r="D10" s="9">
        <v>0.08</v>
      </c>
    </row>
    <row r="11" spans="1:4" x14ac:dyDescent="0.25">
      <c r="A11" t="str">
        <f t="shared" si="0"/>
        <v>Moderado-FOFs</v>
      </c>
      <c r="B11" t="s">
        <v>26</v>
      </c>
      <c r="C11" t="s">
        <v>23</v>
      </c>
      <c r="D11" s="9">
        <v>0.05</v>
      </c>
    </row>
    <row r="12" spans="1:4" x14ac:dyDescent="0.25">
      <c r="A12" t="str">
        <f t="shared" si="0"/>
        <v>Moderado-DESENVOLVIMENTO</v>
      </c>
      <c r="B12" t="s">
        <v>26</v>
      </c>
      <c r="C12" t="s">
        <v>24</v>
      </c>
      <c r="D12" s="9">
        <v>0.1</v>
      </c>
    </row>
    <row r="13" spans="1:4" x14ac:dyDescent="0.25">
      <c r="A13" s="8" t="str">
        <f t="shared" si="0"/>
        <v>Moderado-HOTELARIAS</v>
      </c>
      <c r="B13" s="8" t="s">
        <v>26</v>
      </c>
      <c r="C13" s="8" t="s">
        <v>25</v>
      </c>
      <c r="D13" s="10">
        <v>0.1</v>
      </c>
    </row>
    <row r="14" spans="1:4" x14ac:dyDescent="0.25">
      <c r="A14" t="str">
        <f t="shared" si="0"/>
        <v>Agressivo-PAPEL</v>
      </c>
      <c r="B14" t="s">
        <v>27</v>
      </c>
      <c r="C14" t="s">
        <v>20</v>
      </c>
      <c r="D14" s="9">
        <v>0.5</v>
      </c>
    </row>
    <row r="15" spans="1:4" x14ac:dyDescent="0.25">
      <c r="A15" t="str">
        <f t="shared" si="0"/>
        <v>Agressivo-TIJOLO</v>
      </c>
      <c r="B15" t="s">
        <v>27</v>
      </c>
      <c r="C15" t="s">
        <v>21</v>
      </c>
      <c r="D15" s="9">
        <v>0.1</v>
      </c>
    </row>
    <row r="16" spans="1:4" x14ac:dyDescent="0.25">
      <c r="A16" t="str">
        <f t="shared" si="0"/>
        <v>Agressivo-HÍBRIDOS</v>
      </c>
      <c r="B16" t="s">
        <v>27</v>
      </c>
      <c r="C16" t="s">
        <v>22</v>
      </c>
      <c r="D16" s="9">
        <v>0.05</v>
      </c>
    </row>
    <row r="17" spans="1:4" x14ac:dyDescent="0.25">
      <c r="A17" t="str">
        <f t="shared" si="0"/>
        <v>Agressivo-FOFs</v>
      </c>
      <c r="B17" t="s">
        <v>27</v>
      </c>
      <c r="C17" t="s">
        <v>23</v>
      </c>
      <c r="D17" s="9">
        <v>0.05</v>
      </c>
    </row>
    <row r="18" spans="1:4" x14ac:dyDescent="0.25">
      <c r="A18" t="str">
        <f t="shared" si="0"/>
        <v>Agressivo-DESENVOLVIMENTO</v>
      </c>
      <c r="B18" t="s">
        <v>27</v>
      </c>
      <c r="C18" t="s">
        <v>24</v>
      </c>
      <c r="D18" s="9">
        <v>0.2</v>
      </c>
    </row>
    <row r="19" spans="1:4" x14ac:dyDescent="0.25">
      <c r="A19" t="str">
        <f t="shared" si="0"/>
        <v>Agressivo-HOTELARIAS</v>
      </c>
      <c r="B19" t="s">
        <v>27</v>
      </c>
      <c r="C19" t="s">
        <v>25</v>
      </c>
      <c r="D19" s="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Simulador</vt:lpstr>
      <vt:lpstr>Apoio</vt:lpstr>
      <vt:lpstr>Aporte_mensal</vt:lpstr>
      <vt:lpstr>salario</vt:lpstr>
      <vt:lpstr>taxa</vt:lpstr>
      <vt:lpstr>taxa_mensal</vt:lpstr>
      <vt:lpstr>tempo_de_invest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Katarinne Barbosa de Araújo</dc:creator>
  <cp:lastModifiedBy>Katarinne Barbosa de Araújo</cp:lastModifiedBy>
  <dcterms:created xsi:type="dcterms:W3CDTF">2025-12-30T20:26:28Z</dcterms:created>
  <dcterms:modified xsi:type="dcterms:W3CDTF">2025-12-30T21:33:08Z</dcterms:modified>
</cp:coreProperties>
</file>